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1958CE1-0ABD-4DC7-94FE-3E561974A1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om模板" sheetId="1" r:id="rId1"/>
    <sheet name="Field汇总" sheetId="2" r:id="rId2"/>
  </sheets>
  <calcPr calcId="191029"/>
</workbook>
</file>

<file path=xl/calcChain.xml><?xml version="1.0" encoding="utf-8"?>
<calcChain xmlns="http://schemas.openxmlformats.org/spreadsheetml/2006/main">
  <c r="L43" i="1" l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A7" i="1"/>
  <c r="B55" i="1" l="1"/>
</calcChain>
</file>

<file path=xl/sharedStrings.xml><?xml version="1.0" encoding="utf-8"?>
<sst xmlns="http://schemas.openxmlformats.org/spreadsheetml/2006/main" count="456" uniqueCount="251">
  <si>
    <t/>
  </si>
  <si>
    <t xml:space="preserve">Bill of Materials </t>
  </si>
  <si>
    <t>BOM_Board2_PULPY_F405_OFFICIAL_2025-12-21</t>
  </si>
  <si>
    <t>Project Title：</t>
  </si>
  <si>
    <t>Variant:</t>
  </si>
  <si>
    <t xml:space="preserve"> </t>
  </si>
  <si>
    <t>Report Time：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</si>
  <si>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</si>
  <si>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</si>
  <si>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</si>
  <si>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</si>
  <si>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</si>
  <si>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</si>
  <si>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</si>
  <si>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</si>
  <si>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</si>
  <si>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</si>
  <si>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</si>
  <si>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</si>
  <si>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10nF</t>
  </si>
  <si>
    <t>C1</t>
  </si>
  <si>
    <t>C0402</t>
  </si>
  <si>
    <t>CL05B103KB5NNNC</t>
  </si>
  <si>
    <t>SAMSUNG(三星)</t>
  </si>
  <si>
    <t>C15195</t>
  </si>
  <si>
    <t>LCSC</t>
  </si>
  <si>
    <t>10uF</t>
  </si>
  <si>
    <t>C2, C3, C8, C9</t>
  </si>
  <si>
    <t>CL05A106MQ5NUNC</t>
  </si>
  <si>
    <t>C15525</t>
  </si>
  <si>
    <t>100nF</t>
  </si>
  <si>
    <t>C4, C10, C15, C16, C17, C18, C19, C20, C23, C24, C26, C27, C28, C29</t>
  </si>
  <si>
    <t>C1005X5R1A104M050BA</t>
  </si>
  <si>
    <t>TDK</t>
  </si>
  <si>
    <t>C3845765</t>
  </si>
  <si>
    <t>2.2uF</t>
  </si>
  <si>
    <t>C5, C21, C22</t>
  </si>
  <si>
    <t>C1005X5R1V225KT000E</t>
  </si>
  <si>
    <t>C342966</t>
  </si>
  <si>
    <t>18pF</t>
  </si>
  <si>
    <t>C6, C7</t>
  </si>
  <si>
    <t>C0603</t>
  </si>
  <si>
    <t>CC0603JRNPO9BN180</t>
  </si>
  <si>
    <t>YAGEO(国巨)</t>
  </si>
  <si>
    <t>C107040</t>
  </si>
  <si>
    <t>22uF</t>
  </si>
  <si>
    <t>C11, C12</t>
  </si>
  <si>
    <t>R0805</t>
  </si>
  <si>
    <t>HGC0805R5226M350NSLJ</t>
  </si>
  <si>
    <t>Chinocera(华瓷)</t>
  </si>
  <si>
    <t>C22367832</t>
  </si>
  <si>
    <t>C13</t>
  </si>
  <si>
    <t>C0805</t>
  </si>
  <si>
    <t>CL21A106KAYNNNE</t>
  </si>
  <si>
    <t>C15850</t>
  </si>
  <si>
    <t>1uF</t>
  </si>
  <si>
    <t>C14</t>
  </si>
  <si>
    <t>CL05A105KA5NQNC</t>
  </si>
  <si>
    <t>C52923</t>
  </si>
  <si>
    <t>4.7uF</t>
  </si>
  <si>
    <t>C25</t>
  </si>
  <si>
    <t>0402X475K100NT</t>
  </si>
  <si>
    <t>FH(风华)</t>
  </si>
  <si>
    <t>C191541</t>
  </si>
  <si>
    <t>Airspeed</t>
  </si>
  <si>
    <t>CN1</t>
  </si>
  <si>
    <t>CONN-SMD_4P-P1.25_XUNPU_WAFER-GH1.25-4PWB</t>
  </si>
  <si>
    <t>XUNPU(讯普)</t>
  </si>
  <si>
    <t>C3029379</t>
  </si>
  <si>
    <t>Other</t>
  </si>
  <si>
    <t>CN2</t>
  </si>
  <si>
    <t>Gimbal</t>
  </si>
  <si>
    <t>CN3</t>
  </si>
  <si>
    <t>CONN-SMD_5P-P1.25_XUNPU_WAFER-GH1.25-5PWB</t>
  </si>
  <si>
    <t>C3029380</t>
  </si>
  <si>
    <t>Transceiver</t>
  </si>
  <si>
    <t>CN4</t>
  </si>
  <si>
    <t>LPUART Lidar</t>
  </si>
  <si>
    <t>CN5, CN7</t>
  </si>
  <si>
    <t>GT-USB-7010AO</t>
  </si>
  <si>
    <t>CN6</t>
  </si>
  <si>
    <t>USB-C-SMD_TYPEC-304J-BCP16</t>
  </si>
  <si>
    <t>G-Switch(品赞)</t>
  </si>
  <si>
    <t>C963413</t>
  </si>
  <si>
    <t>GPS</t>
  </si>
  <si>
    <t>CN8, CN12, CN13</t>
  </si>
  <si>
    <t>XT60</t>
  </si>
  <si>
    <t>CN9</t>
  </si>
  <si>
    <t>CONN-TH_XT60</t>
  </si>
  <si>
    <t>AMASS(艾迈斯)</t>
  </si>
  <si>
    <t>C98733</t>
  </si>
  <si>
    <t>+3.3V</t>
  </si>
  <si>
    <t>CN10</t>
  </si>
  <si>
    <t>HDR-TH_2P-P2.54-V-F</t>
  </si>
  <si>
    <t>2.54-1*2P母</t>
  </si>
  <si>
    <t>BOOMELE(博穆精密)</t>
  </si>
  <si>
    <t>C49661</t>
  </si>
  <si>
    <t>STLINK</t>
  </si>
  <si>
    <t>CN11</t>
  </si>
  <si>
    <t>WS2812B strips</t>
  </si>
  <si>
    <t>CN14</t>
  </si>
  <si>
    <t>CONN-TH_3P-P1.25_GH1.25</t>
  </si>
  <si>
    <t>C3029378</t>
  </si>
  <si>
    <t>+4.5V</t>
  </si>
  <si>
    <t>CN15</t>
  </si>
  <si>
    <t>5V_IN</t>
  </si>
  <si>
    <t>CN16</t>
  </si>
  <si>
    <t>PMEG2005CT,215</t>
  </si>
  <si>
    <t>D1</t>
  </si>
  <si>
    <t>TO-236AB_L2.9-W1.3-P0.95-LS2.3-BR</t>
  </si>
  <si>
    <t>Nexperia(安世)</t>
  </si>
  <si>
    <t>C282562</t>
  </si>
  <si>
    <t>MM3Z10VT1G</t>
  </si>
  <si>
    <t>D2</t>
  </si>
  <si>
    <t>SOD-323_L1.8-W1.3-LS2.5-RD</t>
  </si>
  <si>
    <t>onsemi(安森美)</t>
  </si>
  <si>
    <t>C39057</t>
  </si>
  <si>
    <t>XL-2012UPC</t>
  </si>
  <si>
    <t>D3</t>
  </si>
  <si>
    <t>LED0805-RD_PINK</t>
  </si>
  <si>
    <t>XINGLIGHT(成兴光)</t>
  </si>
  <si>
    <t>C965821</t>
  </si>
  <si>
    <t>USBLC6-2P6</t>
  </si>
  <si>
    <t>D4</t>
  </si>
  <si>
    <t>SOT-666-6_L1.6-W1.2-P0.50-LS1.6-BL</t>
  </si>
  <si>
    <t>TECH PUBLIC(台舟)</t>
  </si>
  <si>
    <t>C2827693</t>
  </si>
  <si>
    <t>WS2812B-V5</t>
  </si>
  <si>
    <t>D5</t>
  </si>
  <si>
    <t>LED-SMD_4P-L5.0-W5.0-LS5.4-TL-1</t>
  </si>
  <si>
    <t>worldsemi</t>
  </si>
  <si>
    <t>C2846931</t>
  </si>
  <si>
    <t>CFS12V3T5R0</t>
  </si>
  <si>
    <t>F1</t>
  </si>
  <si>
    <t>F1206</t>
  </si>
  <si>
    <t>大毅科技</t>
  </si>
  <si>
    <t>C163128</t>
  </si>
  <si>
    <t>3.9uH</t>
  </si>
  <si>
    <t>L1</t>
  </si>
  <si>
    <t>IND-SMD_L5.8-W5.2_CD54</t>
  </si>
  <si>
    <t>XRCD54-3R9M</t>
  </si>
  <si>
    <t>XR(祥如)</t>
  </si>
  <si>
    <t>C5289415</t>
  </si>
  <si>
    <t>AO3401A</t>
  </si>
  <si>
    <t>Q1</t>
  </si>
  <si>
    <t>SOT-23_L2.9-W1.3-P1.90-LS2.4-BR</t>
  </si>
  <si>
    <t>AOS</t>
  </si>
  <si>
    <t>C15127</t>
  </si>
  <si>
    <t>10kΩ</t>
  </si>
  <si>
    <t>R1, R2, R13</t>
  </si>
  <si>
    <t>R0402</t>
  </si>
  <si>
    <t>0402WGF1002TCE</t>
  </si>
  <si>
    <t>UNI-ROYAL(厚声)</t>
  </si>
  <si>
    <t>C25744</t>
  </si>
  <si>
    <t>R3, R5</t>
  </si>
  <si>
    <t>AC0402FR-7W10KL</t>
  </si>
  <si>
    <t>C850723</t>
  </si>
  <si>
    <t>100kΩ</t>
  </si>
  <si>
    <t>R4, R12</t>
  </si>
  <si>
    <t>0402WGF1003TCE</t>
  </si>
  <si>
    <t>C25741</t>
  </si>
  <si>
    <t>5.1kΩ</t>
  </si>
  <si>
    <t>R6</t>
  </si>
  <si>
    <t>HoAR0805-1/8W-5.1KR-0.1%-TCR25</t>
  </si>
  <si>
    <t>Milliohm(毫欧)</t>
  </si>
  <si>
    <t>C2912598</t>
  </si>
  <si>
    <t>22Ω</t>
  </si>
  <si>
    <t>R7, R9</t>
  </si>
  <si>
    <t>R0603</t>
  </si>
  <si>
    <t>0603WAF220JT5E</t>
  </si>
  <si>
    <t>C23345</t>
  </si>
  <si>
    <t>R8, R10</t>
  </si>
  <si>
    <t>0603WAF5101T5E</t>
  </si>
  <si>
    <t>C23186</t>
  </si>
  <si>
    <t>2.2kΩ</t>
  </si>
  <si>
    <t>R11, R14</t>
  </si>
  <si>
    <t>0402WGF2201TCE</t>
  </si>
  <si>
    <t>C25879</t>
  </si>
  <si>
    <t>Screw-Hole-M2</t>
  </si>
  <si>
    <t>SCREW1, SCREW2, SCREW3, SCREW4</t>
  </si>
  <si>
    <t>0.5710</t>
  </si>
  <si>
    <t>BX-TS-26-365TP</t>
  </si>
  <si>
    <t>SW1</t>
  </si>
  <si>
    <t>KEY-SMD_L6.0-W3.5-LS8.0-1</t>
  </si>
  <si>
    <t>Bossie(博锡)</t>
  </si>
  <si>
    <t>C18078120</t>
  </si>
  <si>
    <t>ICM-42688-P</t>
  </si>
  <si>
    <t>U1</t>
  </si>
  <si>
    <t>LGA-14_L3.0-W2.5-P0.50-TL</t>
  </si>
  <si>
    <t>TDK InvenSense(应美盛)</t>
  </si>
  <si>
    <t>C1850418</t>
  </si>
  <si>
    <t>TLV75733PDBVR</t>
  </si>
  <si>
    <t>U2, U4</t>
  </si>
  <si>
    <t>SOT-23-5_L2.9-W1.6-P0.95-LS2.8-BL</t>
  </si>
  <si>
    <t>TI(德州仪器)</t>
  </si>
  <si>
    <t>C485517</t>
  </si>
  <si>
    <t>W25Q128JVSIQTR -YJLTY</t>
  </si>
  <si>
    <t>U3</t>
  </si>
  <si>
    <t>SOIC-8_L5.3-W5.3-P1.27-LS8.0-BL</t>
  </si>
  <si>
    <t>WINBOND(华邦)</t>
  </si>
  <si>
    <t>C2921483</t>
  </si>
  <si>
    <t>STM32F405RGT6TR</t>
  </si>
  <si>
    <t>U5</t>
  </si>
  <si>
    <t>LQFP-64_L10.0-W10.0-P0.50-LS12.0-BL</t>
  </si>
  <si>
    <t>ST(意法半导体)</t>
  </si>
  <si>
    <t>C2054141</t>
  </si>
  <si>
    <t>AP63205WU-7</t>
  </si>
  <si>
    <t>U6</t>
  </si>
  <si>
    <t>TSOT-23-6_L2.9-W1.6-P0.95-LS2.8-BL</t>
  </si>
  <si>
    <t>DIODES(美台)</t>
  </si>
  <si>
    <t>C2071056</t>
  </si>
  <si>
    <t>ESCs</t>
  </si>
  <si>
    <t>U7</t>
  </si>
  <si>
    <t>HDR-TH-12P-P2.54-V-M-R3-C4-S5.08</t>
  </si>
  <si>
    <t>KH-2.54PH180-3X4P-L11.5</t>
  </si>
  <si>
    <t>kinghelm(金航标)</t>
  </si>
  <si>
    <t>C20610251</t>
  </si>
  <si>
    <t>IST8310</t>
  </si>
  <si>
    <t>U8</t>
  </si>
  <si>
    <t>LGA-16_L3.0-W3.0-P0.50-BL_SQ</t>
  </si>
  <si>
    <t>iSentek(爱盛科技)</t>
  </si>
  <si>
    <t>C2683055</t>
  </si>
  <si>
    <t>DPS368XTSA1</t>
  </si>
  <si>
    <t>U9</t>
  </si>
  <si>
    <t>LGA-8_L2.5-W2.0-P0.65-TR_DPS368</t>
  </si>
  <si>
    <t>Infineon(英飞凌)</t>
  </si>
  <si>
    <t>C3232508</t>
  </si>
  <si>
    <t>8MHz</t>
  </si>
  <si>
    <t>X1</t>
  </si>
  <si>
    <t>CRYSTAL-SMD_4P-L3.2-W2.5-BL_SIT8008BI</t>
  </si>
  <si>
    <t>CF4008M00012001</t>
  </si>
  <si>
    <t>HUAXIN(华昕)</t>
  </si>
  <si>
    <t>C7294546</t>
  </si>
  <si>
    <t>Project Title</t>
  </si>
  <si>
    <t>Borard Title</t>
  </si>
  <si>
    <t>Board2</t>
  </si>
  <si>
    <t>Schematic Title</t>
  </si>
  <si>
    <t>PCB Title</t>
  </si>
  <si>
    <t>Variant Name</t>
  </si>
  <si>
    <t>Total Quantity</t>
  </si>
  <si>
    <t>Report Time</t>
  </si>
  <si>
    <t>Report Date</t>
  </si>
  <si>
    <t>Report Date&amp;Time</t>
  </si>
  <si>
    <t>File Name</t>
  </si>
  <si>
    <t>Filter Option</t>
  </si>
  <si>
    <t>&lt;Parameter filter option not found&gt;</t>
  </si>
  <si>
    <t>SpookyFC</t>
  </si>
  <si>
    <t>2025年12月26日 19:32:47</t>
  </si>
  <si>
    <t>SpookyFC_blueprint</t>
  </si>
  <si>
    <t xml:space="preserve">2025年12月26日 </t>
  </si>
  <si>
    <t>SpookyFC_OFFICIAL_2025-12-26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</si>
</sst>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¥#,##0.00;\¥\-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right"/>
    </xf>
    <xf numFmtId="21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4</xdr:col>
      <xdr:colOff>3126</xdr:colOff>
      <xdr:row>4</xdr:row>
      <xdr:rowOff>105091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B32" zoomScale="72" zoomScaleNormal="87" workbookViewId="0">
      <selection activeCell="P44" sqref="P44"/>
    </sheetView>
  </sheetViews>
  <sheetFormatPr defaultColWidth="9" defaultRowHeight="14.25" customHeight="1" x14ac:dyDescent="0.3"/>
  <cols>
    <col min="1" max="1" width="16.21875" customWidth="1"/>
    <col min="2" max="2" width="17.109375" customWidth="1"/>
    <col min="3" max="3" width="18" customWidth="1"/>
    <col min="4" max="4" width="15.21875" customWidth="1"/>
    <col min="5" max="5" width="13.109375" customWidth="1"/>
    <col min="6" max="6" width="13.21875" customWidth="1"/>
    <col min="7" max="7" width="14.33203125" customWidth="1"/>
    <col min="8" max="8" width="16.88671875" customWidth="1"/>
    <col min="9" max="9" width="13.33203125" customWidth="1"/>
    <col min="10" max="10" width="14.33203125" customWidth="1"/>
    <col min="11" max="11" width="10.21875" customWidth="1"/>
  </cols>
  <sheetData>
    <row r="1" spans="1:12" ht="14.25" customHeight="1" x14ac:dyDescent="0.3">
      <c r="A1" s="9" t="s">
        <v>0</v>
      </c>
      <c r="B1" s="9"/>
      <c r="C1" s="9"/>
      <c r="D1" s="9"/>
      <c r="E1" s="10" t="s">
        <v>1</v>
      </c>
      <c r="F1" s="10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1" t="s">
        <v>0</v>
      </c>
    </row>
    <row r="2" spans="1:12" ht="14.25" customHeight="1" x14ac:dyDescent="0.3">
      <c r="A2" s="9"/>
      <c r="B2" s="9"/>
      <c r="C2" s="9"/>
      <c r="D2" s="9"/>
      <c r="E2" s="10"/>
      <c r="F2" s="10"/>
      <c r="G2" t="s">
        <v>0</v>
      </c>
      <c r="H2" t="s">
        <v>0</v>
      </c>
      <c r="I2" t="s">
        <v>0</v>
      </c>
      <c r="J2" t="s">
        <v>0</v>
      </c>
      <c r="K2" t="s">
        <v>0</v>
      </c>
      <c r="L2" s="1" t="s">
        <v>0</v>
      </c>
    </row>
    <row r="3" spans="1:12" ht="14.25" customHeight="1" x14ac:dyDescent="0.3">
      <c r="A3" s="9"/>
      <c r="B3" s="9"/>
      <c r="C3" s="9"/>
      <c r="D3" s="9"/>
      <c r="E3" s="2" t="s">
        <v>3</v>
      </c>
      <c r="F3" t="s">
        <v>246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1" t="s">
        <v>0</v>
      </c>
    </row>
    <row r="4" spans="1:12" ht="14.25" customHeight="1" x14ac:dyDescent="0.3">
      <c r="A4" s="9"/>
      <c r="B4" s="9"/>
      <c r="C4" s="9"/>
      <c r="D4" s="9"/>
      <c r="E4" s="2" t="s">
        <v>4</v>
      </c>
      <c r="F4" t="s">
        <v>5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1" t="s">
        <v>0</v>
      </c>
    </row>
    <row r="5" spans="1:12" ht="14.25" customHeight="1" x14ac:dyDescent="0.3">
      <c r="A5" s="9"/>
      <c r="B5" s="9"/>
      <c r="C5" s="9"/>
      <c r="D5" s="9"/>
      <c r="E5" s="2" t="s">
        <v>6</v>
      </c>
      <c r="F5" t="s">
        <v>247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3" t="s">
        <v>0</v>
      </c>
    </row>
    <row r="6" spans="1:12" ht="14.25" customHeight="1" x14ac:dyDescent="0.3">
      <c r="A6" s="4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 ht="14.25" customHeight="1" x14ac:dyDescent="0.3">
      <c r="A7" s="6">
        <f t="shared" ref="A7:A38" si="0">ROW()-6</f>
        <v>1</v>
      </c>
      <c r="B7" s="7">
        <v>1</v>
      </c>
      <c r="C7" s="7" t="s">
        <v>19</v>
      </c>
      <c r="D7" s="7" t="s">
        <v>20</v>
      </c>
      <c r="E7" s="7" t="s">
        <v>21</v>
      </c>
      <c r="F7" s="7" t="s">
        <v>19</v>
      </c>
      <c r="G7" s="7" t="s">
        <v>22</v>
      </c>
      <c r="H7" s="7" t="s">
        <v>23</v>
      </c>
      <c r="I7" s="7" t="s">
        <v>24</v>
      </c>
      <c r="J7" s="7" t="s">
        <v>25</v>
      </c>
      <c r="K7" s="7"/>
      <c r="L7" s="8">
        <f t="shared" ref="L7:L54" si="1">B7*K7</f>
        <v>0</v>
      </c>
    </row>
    <row r="8" spans="1:12" ht="14.25" customHeight="1" x14ac:dyDescent="0.3">
      <c r="A8" s="6">
        <f t="shared" si="0"/>
        <v>2</v>
      </c>
      <c r="B8" s="7">
        <v>4</v>
      </c>
      <c r="C8" s="7" t="s">
        <v>26</v>
      </c>
      <c r="D8" s="7" t="s">
        <v>27</v>
      </c>
      <c r="E8" s="7" t="s">
        <v>21</v>
      </c>
      <c r="F8" s="7" t="s">
        <v>26</v>
      </c>
      <c r="G8" s="7" t="s">
        <v>28</v>
      </c>
      <c r="H8" s="7" t="s">
        <v>23</v>
      </c>
      <c r="I8" s="7" t="s">
        <v>29</v>
      </c>
      <c r="J8" s="7" t="s">
        <v>25</v>
      </c>
      <c r="K8" s="7"/>
      <c r="L8" s="8">
        <f t="shared" si="1"/>
        <v>0</v>
      </c>
    </row>
    <row r="9" spans="1:12" ht="14.25" customHeight="1" x14ac:dyDescent="0.3">
      <c r="A9" s="6">
        <f t="shared" si="0"/>
        <v>3</v>
      </c>
      <c r="B9" s="7">
        <v>14</v>
      </c>
      <c r="C9" s="7" t="s">
        <v>30</v>
      </c>
      <c r="D9" s="7" t="s">
        <v>31</v>
      </c>
      <c r="E9" s="7" t="s">
        <v>21</v>
      </c>
      <c r="F9" s="7" t="s">
        <v>30</v>
      </c>
      <c r="G9" s="7" t="s">
        <v>32</v>
      </c>
      <c r="H9" s="7" t="s">
        <v>33</v>
      </c>
      <c r="I9" s="7" t="s">
        <v>34</v>
      </c>
      <c r="J9" s="7" t="s">
        <v>25</v>
      </c>
      <c r="K9" s="7"/>
      <c r="L9" s="8">
        <f t="shared" si="1"/>
        <v>0</v>
      </c>
    </row>
    <row r="10" spans="1:12" ht="14.25" customHeight="1" x14ac:dyDescent="0.3">
      <c r="A10" s="6">
        <f t="shared" si="0"/>
        <v>4</v>
      </c>
      <c r="B10" s="7">
        <v>3</v>
      </c>
      <c r="C10" s="7" t="s">
        <v>35</v>
      </c>
      <c r="D10" s="7" t="s">
        <v>36</v>
      </c>
      <c r="E10" s="7" t="s">
        <v>21</v>
      </c>
      <c r="F10" s="7" t="s">
        <v>35</v>
      </c>
      <c r="G10" s="7" t="s">
        <v>37</v>
      </c>
      <c r="H10" s="7" t="s">
        <v>33</v>
      </c>
      <c r="I10" s="7" t="s">
        <v>38</v>
      </c>
      <c r="J10" s="7" t="s">
        <v>25</v>
      </c>
      <c r="K10" s="7"/>
      <c r="L10" s="8">
        <f t="shared" si="1"/>
        <v>0</v>
      </c>
    </row>
    <row r="11" spans="1:12" ht="14.25" customHeight="1" x14ac:dyDescent="0.3">
      <c r="A11" s="6">
        <f t="shared" si="0"/>
        <v>5</v>
      </c>
      <c r="B11" s="7">
        <v>2</v>
      </c>
      <c r="C11" s="7" t="s">
        <v>39</v>
      </c>
      <c r="D11" s="7" t="s">
        <v>40</v>
      </c>
      <c r="E11" s="7" t="s">
        <v>41</v>
      </c>
      <c r="F11" s="7" t="s">
        <v>39</v>
      </c>
      <c r="G11" s="7" t="s">
        <v>42</v>
      </c>
      <c r="H11" s="7" t="s">
        <v>43</v>
      </c>
      <c r="I11" s="7" t="s">
        <v>44</v>
      </c>
      <c r="J11" s="7" t="s">
        <v>25</v>
      </c>
      <c r="K11" s="7"/>
      <c r="L11" s="8">
        <f t="shared" si="1"/>
        <v>0</v>
      </c>
    </row>
    <row r="12" spans="1:12" ht="14.25" customHeight="1" x14ac:dyDescent="0.3">
      <c r="A12" s="6">
        <f t="shared" si="0"/>
        <v>6</v>
      </c>
      <c r="B12" s="7">
        <v>2</v>
      </c>
      <c r="C12" s="7" t="s">
        <v>45</v>
      </c>
      <c r="D12" s="7" t="s">
        <v>46</v>
      </c>
      <c r="E12" s="7" t="s">
        <v>47</v>
      </c>
      <c r="F12" s="7" t="s">
        <v>45</v>
      </c>
      <c r="G12" s="7" t="s">
        <v>48</v>
      </c>
      <c r="H12" s="7" t="s">
        <v>49</v>
      </c>
      <c r="I12" s="7" t="s">
        <v>50</v>
      </c>
      <c r="J12" s="7" t="s">
        <v>25</v>
      </c>
      <c r="K12" s="7"/>
      <c r="L12" s="8">
        <f t="shared" si="1"/>
        <v>0</v>
      </c>
    </row>
    <row r="13" spans="1:12" ht="14.25" customHeight="1" x14ac:dyDescent="0.3">
      <c r="A13" s="6">
        <f t="shared" si="0"/>
        <v>7</v>
      </c>
      <c r="B13" s="7">
        <v>1</v>
      </c>
      <c r="C13" s="7" t="s">
        <v>26</v>
      </c>
      <c r="D13" s="7" t="s">
        <v>51</v>
      </c>
      <c r="E13" s="7" t="s">
        <v>52</v>
      </c>
      <c r="F13" s="7" t="s">
        <v>26</v>
      </c>
      <c r="G13" s="7" t="s">
        <v>53</v>
      </c>
      <c r="H13" s="7" t="s">
        <v>23</v>
      </c>
      <c r="I13" s="7" t="s">
        <v>54</v>
      </c>
      <c r="J13" s="7" t="s">
        <v>25</v>
      </c>
      <c r="K13" s="7"/>
      <c r="L13" s="8">
        <f t="shared" si="1"/>
        <v>0</v>
      </c>
    </row>
    <row r="14" spans="1:12" ht="14.25" customHeight="1" x14ac:dyDescent="0.3">
      <c r="A14" s="6">
        <f t="shared" si="0"/>
        <v>8</v>
      </c>
      <c r="B14" s="7">
        <v>1</v>
      </c>
      <c r="C14" s="7" t="s">
        <v>55</v>
      </c>
      <c r="D14" s="7" t="s">
        <v>56</v>
      </c>
      <c r="E14" s="7" t="s">
        <v>21</v>
      </c>
      <c r="F14" s="7" t="s">
        <v>55</v>
      </c>
      <c r="G14" s="7" t="s">
        <v>57</v>
      </c>
      <c r="H14" s="7" t="s">
        <v>23</v>
      </c>
      <c r="I14" s="7" t="s">
        <v>58</v>
      </c>
      <c r="J14" s="7" t="s">
        <v>25</v>
      </c>
      <c r="K14" s="7"/>
      <c r="L14" s="8">
        <f t="shared" si="1"/>
        <v>0</v>
      </c>
    </row>
    <row r="15" spans="1:12" ht="14.25" customHeight="1" x14ac:dyDescent="0.3">
      <c r="A15" s="6">
        <f t="shared" si="0"/>
        <v>9</v>
      </c>
      <c r="B15" s="7">
        <v>1</v>
      </c>
      <c r="C15" s="7" t="s">
        <v>59</v>
      </c>
      <c r="D15" s="7" t="s">
        <v>60</v>
      </c>
      <c r="E15" s="7" t="s">
        <v>21</v>
      </c>
      <c r="F15" s="7" t="s">
        <v>59</v>
      </c>
      <c r="G15" s="7" t="s">
        <v>61</v>
      </c>
      <c r="H15" s="7" t="s">
        <v>62</v>
      </c>
      <c r="I15" s="7" t="s">
        <v>63</v>
      </c>
      <c r="J15" s="7" t="s">
        <v>25</v>
      </c>
      <c r="K15" s="7"/>
      <c r="L15" s="8">
        <f t="shared" si="1"/>
        <v>0</v>
      </c>
    </row>
    <row r="16" spans="1:12" ht="14.25" customHeight="1" x14ac:dyDescent="0.3">
      <c r="A16" s="6">
        <f t="shared" si="0"/>
        <v>10</v>
      </c>
      <c r="B16" s="7">
        <v>1</v>
      </c>
      <c r="C16" s="7" t="s">
        <v>64</v>
      </c>
      <c r="D16" s="7" t="s">
        <v>65</v>
      </c>
      <c r="E16" s="7" t="s">
        <v>66</v>
      </c>
      <c r="F16" s="7" t="s">
        <v>0</v>
      </c>
      <c r="G16" s="7" t="s">
        <v>64</v>
      </c>
      <c r="H16" s="7" t="s">
        <v>67</v>
      </c>
      <c r="I16" s="7" t="s">
        <v>68</v>
      </c>
      <c r="J16" s="7" t="s">
        <v>25</v>
      </c>
      <c r="K16" s="7"/>
      <c r="L16" s="8">
        <f t="shared" si="1"/>
        <v>0</v>
      </c>
    </row>
    <row r="17" spans="1:12" ht="14.25" customHeight="1" x14ac:dyDescent="0.3">
      <c r="A17" s="6">
        <f t="shared" si="0"/>
        <v>11</v>
      </c>
      <c r="B17" s="7">
        <v>1</v>
      </c>
      <c r="C17" s="7" t="s">
        <v>69</v>
      </c>
      <c r="D17" s="7" t="s">
        <v>70</v>
      </c>
      <c r="E17" s="7" t="s">
        <v>66</v>
      </c>
      <c r="F17" s="7" t="s">
        <v>0</v>
      </c>
      <c r="G17" s="7" t="s">
        <v>69</v>
      </c>
      <c r="H17" s="7" t="s">
        <v>67</v>
      </c>
      <c r="I17" s="7" t="s">
        <v>68</v>
      </c>
      <c r="J17" s="7" t="s">
        <v>25</v>
      </c>
      <c r="K17" s="7"/>
      <c r="L17" s="8">
        <f t="shared" si="1"/>
        <v>0</v>
      </c>
    </row>
    <row r="18" spans="1:12" ht="14.25" customHeight="1" x14ac:dyDescent="0.3">
      <c r="A18" s="6">
        <f t="shared" si="0"/>
        <v>12</v>
      </c>
      <c r="B18" s="7">
        <v>1</v>
      </c>
      <c r="C18" s="7" t="s">
        <v>71</v>
      </c>
      <c r="D18" s="7" t="s">
        <v>72</v>
      </c>
      <c r="E18" s="7" t="s">
        <v>73</v>
      </c>
      <c r="F18" s="7" t="s">
        <v>0</v>
      </c>
      <c r="G18" s="7" t="s">
        <v>71</v>
      </c>
      <c r="H18" s="7" t="s">
        <v>67</v>
      </c>
      <c r="I18" s="7" t="s">
        <v>74</v>
      </c>
      <c r="J18" s="7" t="s">
        <v>25</v>
      </c>
      <c r="K18" s="7"/>
      <c r="L18" s="8">
        <f t="shared" si="1"/>
        <v>0</v>
      </c>
    </row>
    <row r="19" spans="1:12" ht="14.25" customHeight="1" x14ac:dyDescent="0.3">
      <c r="A19" s="6">
        <f t="shared" si="0"/>
        <v>13</v>
      </c>
      <c r="B19" s="7">
        <v>1</v>
      </c>
      <c r="C19" s="7" t="s">
        <v>75</v>
      </c>
      <c r="D19" s="7" t="s">
        <v>76</v>
      </c>
      <c r="E19" s="7" t="s">
        <v>66</v>
      </c>
      <c r="F19" s="7" t="s">
        <v>0</v>
      </c>
      <c r="G19" s="7" t="s">
        <v>75</v>
      </c>
      <c r="H19" s="7" t="s">
        <v>67</v>
      </c>
      <c r="I19" s="7" t="s">
        <v>68</v>
      </c>
      <c r="J19" s="7" t="s">
        <v>25</v>
      </c>
      <c r="K19" s="7"/>
      <c r="L19" s="8">
        <f t="shared" si="1"/>
        <v>0</v>
      </c>
    </row>
    <row r="20" spans="1:12" ht="14.25" customHeight="1" x14ac:dyDescent="0.3">
      <c r="A20" s="6">
        <f t="shared" si="0"/>
        <v>14</v>
      </c>
      <c r="B20" s="7">
        <v>2</v>
      </c>
      <c r="C20" s="7" t="s">
        <v>77</v>
      </c>
      <c r="D20" s="7" t="s">
        <v>78</v>
      </c>
      <c r="E20" s="7" t="s">
        <v>66</v>
      </c>
      <c r="F20" s="7" t="s">
        <v>0</v>
      </c>
      <c r="G20" s="7" t="s">
        <v>77</v>
      </c>
      <c r="H20" s="7" t="s">
        <v>67</v>
      </c>
      <c r="I20" s="7" t="s">
        <v>68</v>
      </c>
      <c r="J20" s="7" t="s">
        <v>25</v>
      </c>
      <c r="K20" s="7"/>
      <c r="L20" s="8">
        <f t="shared" si="1"/>
        <v>0</v>
      </c>
    </row>
    <row r="21" spans="1:12" ht="14.25" customHeight="1" x14ac:dyDescent="0.3">
      <c r="A21" s="6">
        <f t="shared" si="0"/>
        <v>15</v>
      </c>
      <c r="B21" s="7">
        <v>1</v>
      </c>
      <c r="C21" s="7" t="s">
        <v>79</v>
      </c>
      <c r="D21" s="7" t="s">
        <v>80</v>
      </c>
      <c r="E21" s="7" t="s">
        <v>81</v>
      </c>
      <c r="F21" s="7" t="s">
        <v>0</v>
      </c>
      <c r="G21" s="7" t="s">
        <v>79</v>
      </c>
      <c r="H21" s="7" t="s">
        <v>82</v>
      </c>
      <c r="I21" s="7" t="s">
        <v>83</v>
      </c>
      <c r="J21" s="7" t="s">
        <v>25</v>
      </c>
      <c r="K21" s="7"/>
      <c r="L21" s="8">
        <f t="shared" si="1"/>
        <v>0</v>
      </c>
    </row>
    <row r="22" spans="1:12" ht="14.25" customHeight="1" x14ac:dyDescent="0.3">
      <c r="A22" s="6">
        <f t="shared" si="0"/>
        <v>16</v>
      </c>
      <c r="B22" s="7">
        <v>3</v>
      </c>
      <c r="C22" s="7" t="s">
        <v>84</v>
      </c>
      <c r="D22" s="7" t="s">
        <v>85</v>
      </c>
      <c r="E22" s="7" t="s">
        <v>66</v>
      </c>
      <c r="F22" s="7" t="s">
        <v>0</v>
      </c>
      <c r="G22" s="7" t="s">
        <v>84</v>
      </c>
      <c r="H22" s="7" t="s">
        <v>67</v>
      </c>
      <c r="I22" s="7" t="s">
        <v>68</v>
      </c>
      <c r="J22" s="7" t="s">
        <v>25</v>
      </c>
      <c r="K22" s="7"/>
      <c r="L22" s="8">
        <f t="shared" si="1"/>
        <v>0</v>
      </c>
    </row>
    <row r="23" spans="1:12" ht="14.25" customHeight="1" x14ac:dyDescent="0.3">
      <c r="A23" s="6">
        <f t="shared" si="0"/>
        <v>17</v>
      </c>
      <c r="B23" s="7">
        <v>1</v>
      </c>
      <c r="C23" s="7" t="s">
        <v>86</v>
      </c>
      <c r="D23" s="7" t="s">
        <v>87</v>
      </c>
      <c r="E23" s="7" t="s">
        <v>88</v>
      </c>
      <c r="F23" s="7" t="s">
        <v>0</v>
      </c>
      <c r="G23" s="7" t="s">
        <v>86</v>
      </c>
      <c r="H23" s="7" t="s">
        <v>89</v>
      </c>
      <c r="I23" s="7" t="s">
        <v>90</v>
      </c>
      <c r="J23" s="7" t="s">
        <v>25</v>
      </c>
      <c r="K23" s="7"/>
      <c r="L23" s="8">
        <f t="shared" si="1"/>
        <v>0</v>
      </c>
    </row>
    <row r="24" spans="1:12" ht="14.25" customHeight="1" x14ac:dyDescent="0.3">
      <c r="A24" s="6">
        <f t="shared" si="0"/>
        <v>18</v>
      </c>
      <c r="B24" s="7">
        <v>1</v>
      </c>
      <c r="C24" s="7" t="s">
        <v>91</v>
      </c>
      <c r="D24" s="7" t="s">
        <v>92</v>
      </c>
      <c r="E24" s="7" t="s">
        <v>93</v>
      </c>
      <c r="F24" s="7" t="s">
        <v>0</v>
      </c>
      <c r="G24" s="7" t="s">
        <v>94</v>
      </c>
      <c r="H24" s="7" t="s">
        <v>95</v>
      </c>
      <c r="I24" s="7" t="s">
        <v>96</v>
      </c>
      <c r="J24" s="7" t="s">
        <v>25</v>
      </c>
      <c r="K24" s="7"/>
      <c r="L24" s="8">
        <f t="shared" si="1"/>
        <v>0</v>
      </c>
    </row>
    <row r="25" spans="1:12" ht="14.25" customHeight="1" x14ac:dyDescent="0.3">
      <c r="A25" s="6">
        <f t="shared" si="0"/>
        <v>19</v>
      </c>
      <c r="B25" s="7">
        <v>1</v>
      </c>
      <c r="C25" s="7" t="s">
        <v>97</v>
      </c>
      <c r="D25" s="7" t="s">
        <v>98</v>
      </c>
      <c r="E25" s="7" t="s">
        <v>66</v>
      </c>
      <c r="F25" s="7" t="s">
        <v>0</v>
      </c>
      <c r="G25" s="7" t="s">
        <v>97</v>
      </c>
      <c r="H25" s="7" t="s">
        <v>67</v>
      </c>
      <c r="I25" s="7" t="s">
        <v>68</v>
      </c>
      <c r="J25" s="7" t="s">
        <v>25</v>
      </c>
      <c r="K25" s="7"/>
      <c r="L25" s="8">
        <f t="shared" si="1"/>
        <v>0</v>
      </c>
    </row>
    <row r="26" spans="1:12" ht="14.25" customHeight="1" x14ac:dyDescent="0.3">
      <c r="A26" s="6">
        <f t="shared" si="0"/>
        <v>20</v>
      </c>
      <c r="B26" s="7">
        <v>1</v>
      </c>
      <c r="C26" s="7" t="s">
        <v>99</v>
      </c>
      <c r="D26" s="7" t="s">
        <v>100</v>
      </c>
      <c r="E26" s="7" t="s">
        <v>101</v>
      </c>
      <c r="F26" s="7" t="s">
        <v>0</v>
      </c>
      <c r="G26" s="7" t="s">
        <v>99</v>
      </c>
      <c r="H26" s="7" t="s">
        <v>67</v>
      </c>
      <c r="I26" s="7" t="s">
        <v>102</v>
      </c>
      <c r="J26" s="7" t="s">
        <v>25</v>
      </c>
      <c r="K26" s="7"/>
      <c r="L26" s="8">
        <f t="shared" si="1"/>
        <v>0</v>
      </c>
    </row>
    <row r="27" spans="1:12" ht="14.25" customHeight="1" x14ac:dyDescent="0.3">
      <c r="A27" s="6">
        <f t="shared" si="0"/>
        <v>21</v>
      </c>
      <c r="B27" s="7">
        <v>1</v>
      </c>
      <c r="C27" s="7" t="s">
        <v>103</v>
      </c>
      <c r="D27" s="7" t="s">
        <v>104</v>
      </c>
      <c r="E27" s="7" t="s">
        <v>93</v>
      </c>
      <c r="F27" s="7" t="s">
        <v>0</v>
      </c>
      <c r="G27" s="7" t="s">
        <v>94</v>
      </c>
      <c r="H27" s="7" t="s">
        <v>95</v>
      </c>
      <c r="I27" s="7" t="s">
        <v>96</v>
      </c>
      <c r="J27" s="7" t="s">
        <v>25</v>
      </c>
      <c r="K27" s="7"/>
      <c r="L27" s="8">
        <f t="shared" si="1"/>
        <v>0</v>
      </c>
    </row>
    <row r="28" spans="1:12" ht="14.25" customHeight="1" x14ac:dyDescent="0.3">
      <c r="A28" s="6">
        <f t="shared" si="0"/>
        <v>22</v>
      </c>
      <c r="B28" s="7">
        <v>1</v>
      </c>
      <c r="C28" s="7" t="s">
        <v>105</v>
      </c>
      <c r="D28" s="7" t="s">
        <v>106</v>
      </c>
      <c r="E28" s="7" t="s">
        <v>93</v>
      </c>
      <c r="F28" s="7" t="s">
        <v>0</v>
      </c>
      <c r="G28" s="7" t="s">
        <v>94</v>
      </c>
      <c r="H28" s="7" t="s">
        <v>95</v>
      </c>
      <c r="I28" s="7" t="s">
        <v>96</v>
      </c>
      <c r="J28" s="7" t="s">
        <v>25</v>
      </c>
      <c r="K28" s="7"/>
      <c r="L28" s="8">
        <f t="shared" si="1"/>
        <v>0</v>
      </c>
    </row>
    <row r="29" spans="1:12" ht="14.25" customHeight="1" x14ac:dyDescent="0.3">
      <c r="A29" s="6">
        <f t="shared" si="0"/>
        <v>23</v>
      </c>
      <c r="B29" s="7">
        <v>1</v>
      </c>
      <c r="C29" s="7" t="s">
        <v>107</v>
      </c>
      <c r="D29" s="7" t="s">
        <v>108</v>
      </c>
      <c r="E29" s="7" t="s">
        <v>109</v>
      </c>
      <c r="F29" s="7" t="s">
        <v>0</v>
      </c>
      <c r="G29" s="7" t="s">
        <v>107</v>
      </c>
      <c r="H29" s="7" t="s">
        <v>110</v>
      </c>
      <c r="I29" s="7" t="s">
        <v>111</v>
      </c>
      <c r="J29" s="7" t="s">
        <v>25</v>
      </c>
      <c r="K29" s="7"/>
      <c r="L29" s="8">
        <f t="shared" si="1"/>
        <v>0</v>
      </c>
    </row>
    <row r="30" spans="1:12" ht="14.4" x14ac:dyDescent="0.3">
      <c r="A30" s="6">
        <f t="shared" si="0"/>
        <v>24</v>
      </c>
      <c r="B30" s="7">
        <v>1</v>
      </c>
      <c r="C30" s="7" t="s">
        <v>112</v>
      </c>
      <c r="D30" s="7" t="s">
        <v>113</v>
      </c>
      <c r="E30" s="7" t="s">
        <v>114</v>
      </c>
      <c r="F30" s="7" t="s">
        <v>0</v>
      </c>
      <c r="G30" s="7" t="s">
        <v>112</v>
      </c>
      <c r="H30" s="7" t="s">
        <v>115</v>
      </c>
      <c r="I30" s="7" t="s">
        <v>116</v>
      </c>
      <c r="J30" s="7" t="s">
        <v>25</v>
      </c>
      <c r="K30" s="7"/>
      <c r="L30" s="8">
        <f t="shared" si="1"/>
        <v>0</v>
      </c>
    </row>
    <row r="31" spans="1:12" ht="14.4" x14ac:dyDescent="0.3">
      <c r="A31" s="6">
        <f t="shared" si="0"/>
        <v>25</v>
      </c>
      <c r="B31" s="7">
        <v>1</v>
      </c>
      <c r="C31" s="7" t="s">
        <v>117</v>
      </c>
      <c r="D31" s="7" t="s">
        <v>118</v>
      </c>
      <c r="E31" s="7" t="s">
        <v>119</v>
      </c>
      <c r="F31" s="7" t="s">
        <v>0</v>
      </c>
      <c r="G31" s="7" t="s">
        <v>117</v>
      </c>
      <c r="H31" s="7" t="s">
        <v>120</v>
      </c>
      <c r="I31" s="7" t="s">
        <v>121</v>
      </c>
      <c r="J31" s="7" t="s">
        <v>25</v>
      </c>
      <c r="K31" s="7"/>
      <c r="L31" s="8">
        <f t="shared" si="1"/>
        <v>0</v>
      </c>
    </row>
    <row r="32" spans="1:12" ht="14.4" x14ac:dyDescent="0.3">
      <c r="A32" s="6">
        <f t="shared" si="0"/>
        <v>26</v>
      </c>
      <c r="B32" s="7">
        <v>1</v>
      </c>
      <c r="C32" s="7" t="s">
        <v>122</v>
      </c>
      <c r="D32" s="7" t="s">
        <v>123</v>
      </c>
      <c r="E32" s="7" t="s">
        <v>124</v>
      </c>
      <c r="F32" s="7" t="s">
        <v>0</v>
      </c>
      <c r="G32" s="7" t="s">
        <v>122</v>
      </c>
      <c r="H32" s="7" t="s">
        <v>125</v>
      </c>
      <c r="I32" s="7" t="s">
        <v>126</v>
      </c>
      <c r="J32" s="7" t="s">
        <v>25</v>
      </c>
      <c r="K32" s="7"/>
      <c r="L32" s="8">
        <f t="shared" si="1"/>
        <v>0</v>
      </c>
    </row>
    <row r="33" spans="1:12" ht="14.4" x14ac:dyDescent="0.3">
      <c r="A33" s="6">
        <f t="shared" si="0"/>
        <v>27</v>
      </c>
      <c r="B33" s="7">
        <v>1</v>
      </c>
      <c r="C33" s="7" t="s">
        <v>127</v>
      </c>
      <c r="D33" s="7" t="s">
        <v>128</v>
      </c>
      <c r="E33" s="7" t="s">
        <v>129</v>
      </c>
      <c r="F33" s="7" t="s">
        <v>0</v>
      </c>
      <c r="G33" s="7" t="s">
        <v>127</v>
      </c>
      <c r="H33" s="7" t="s">
        <v>130</v>
      </c>
      <c r="I33" s="7" t="s">
        <v>131</v>
      </c>
      <c r="J33" s="7" t="s">
        <v>25</v>
      </c>
      <c r="K33" s="7"/>
      <c r="L33" s="8">
        <f t="shared" si="1"/>
        <v>0</v>
      </c>
    </row>
    <row r="34" spans="1:12" ht="14.4" x14ac:dyDescent="0.3">
      <c r="A34" s="6">
        <f t="shared" si="0"/>
        <v>28</v>
      </c>
      <c r="B34" s="7">
        <v>1</v>
      </c>
      <c r="C34" s="7" t="s">
        <v>132</v>
      </c>
      <c r="D34" s="7" t="s">
        <v>133</v>
      </c>
      <c r="E34" s="7" t="s">
        <v>134</v>
      </c>
      <c r="F34" s="7" t="s">
        <v>0</v>
      </c>
      <c r="G34" s="7" t="s">
        <v>132</v>
      </c>
      <c r="H34" s="7" t="s">
        <v>135</v>
      </c>
      <c r="I34" s="7" t="s">
        <v>136</v>
      </c>
      <c r="J34" s="7" t="s">
        <v>25</v>
      </c>
      <c r="K34" s="7"/>
      <c r="L34" s="8">
        <f t="shared" si="1"/>
        <v>0</v>
      </c>
    </row>
    <row r="35" spans="1:12" ht="14.4" x14ac:dyDescent="0.3">
      <c r="A35" s="6">
        <f t="shared" si="0"/>
        <v>29</v>
      </c>
      <c r="B35" s="7">
        <v>1</v>
      </c>
      <c r="C35" s="7" t="s">
        <v>137</v>
      </c>
      <c r="D35" s="7" t="s">
        <v>138</v>
      </c>
      <c r="E35" s="7" t="s">
        <v>139</v>
      </c>
      <c r="F35" s="7" t="s">
        <v>137</v>
      </c>
      <c r="G35" s="7" t="s">
        <v>140</v>
      </c>
      <c r="H35" s="7" t="s">
        <v>141</v>
      </c>
      <c r="I35" s="7" t="s">
        <v>142</v>
      </c>
      <c r="J35" s="7" t="s">
        <v>25</v>
      </c>
      <c r="K35" s="7"/>
      <c r="L35" s="8">
        <f t="shared" si="1"/>
        <v>0</v>
      </c>
    </row>
    <row r="36" spans="1:12" ht="14.4" x14ac:dyDescent="0.3">
      <c r="A36" s="6">
        <f t="shared" si="0"/>
        <v>30</v>
      </c>
      <c r="B36" s="7">
        <v>1</v>
      </c>
      <c r="C36" s="7" t="s">
        <v>143</v>
      </c>
      <c r="D36" s="7" t="s">
        <v>144</v>
      </c>
      <c r="E36" s="7" t="s">
        <v>145</v>
      </c>
      <c r="F36" s="7" t="s">
        <v>0</v>
      </c>
      <c r="G36" s="7" t="s">
        <v>143</v>
      </c>
      <c r="H36" s="7" t="s">
        <v>146</v>
      </c>
      <c r="I36" s="7" t="s">
        <v>147</v>
      </c>
      <c r="J36" s="7" t="s">
        <v>25</v>
      </c>
      <c r="K36" s="7"/>
      <c r="L36" s="8">
        <f t="shared" si="1"/>
        <v>0</v>
      </c>
    </row>
    <row r="37" spans="1:12" ht="14.4" x14ac:dyDescent="0.3">
      <c r="A37" s="6">
        <f t="shared" si="0"/>
        <v>31</v>
      </c>
      <c r="B37" s="7">
        <v>3</v>
      </c>
      <c r="C37" s="7" t="s">
        <v>148</v>
      </c>
      <c r="D37" s="7" t="s">
        <v>149</v>
      </c>
      <c r="E37" s="7" t="s">
        <v>150</v>
      </c>
      <c r="F37" s="7" t="s">
        <v>148</v>
      </c>
      <c r="G37" s="7" t="s">
        <v>151</v>
      </c>
      <c r="H37" s="7" t="s">
        <v>152</v>
      </c>
      <c r="I37" s="7" t="s">
        <v>153</v>
      </c>
      <c r="J37" s="7" t="s">
        <v>25</v>
      </c>
      <c r="K37" s="7"/>
      <c r="L37" s="8">
        <f t="shared" si="1"/>
        <v>0</v>
      </c>
    </row>
    <row r="38" spans="1:12" ht="14.4" x14ac:dyDescent="0.3">
      <c r="A38" s="6">
        <f t="shared" si="0"/>
        <v>32</v>
      </c>
      <c r="B38" s="7">
        <v>2</v>
      </c>
      <c r="C38" s="7" t="s">
        <v>148</v>
      </c>
      <c r="D38" s="7" t="s">
        <v>154</v>
      </c>
      <c r="E38" s="7" t="s">
        <v>150</v>
      </c>
      <c r="F38" s="7" t="s">
        <v>148</v>
      </c>
      <c r="G38" s="7" t="s">
        <v>155</v>
      </c>
      <c r="H38" s="7" t="s">
        <v>43</v>
      </c>
      <c r="I38" s="7" t="s">
        <v>156</v>
      </c>
      <c r="J38" s="7" t="s">
        <v>25</v>
      </c>
      <c r="K38" s="7"/>
      <c r="L38" s="8">
        <f t="shared" si="1"/>
        <v>0</v>
      </c>
    </row>
    <row r="39" spans="1:12" ht="14.4" x14ac:dyDescent="0.3">
      <c r="A39" s="6">
        <f t="shared" ref="A39:A55" si="2">ROW()-6</f>
        <v>33</v>
      </c>
      <c r="B39" s="7">
        <v>2</v>
      </c>
      <c r="C39" s="7" t="s">
        <v>157</v>
      </c>
      <c r="D39" s="7" t="s">
        <v>158</v>
      </c>
      <c r="E39" s="7" t="s">
        <v>150</v>
      </c>
      <c r="F39" s="7" t="s">
        <v>157</v>
      </c>
      <c r="G39" s="7" t="s">
        <v>159</v>
      </c>
      <c r="H39" s="7" t="s">
        <v>152</v>
      </c>
      <c r="I39" s="7" t="s">
        <v>160</v>
      </c>
      <c r="J39" s="7" t="s">
        <v>25</v>
      </c>
      <c r="K39" s="7"/>
      <c r="L39" s="8">
        <f t="shared" si="1"/>
        <v>0</v>
      </c>
    </row>
    <row r="40" spans="1:12" ht="14.4" x14ac:dyDescent="0.3">
      <c r="A40" s="6">
        <f t="shared" si="2"/>
        <v>34</v>
      </c>
      <c r="B40" s="7">
        <v>1</v>
      </c>
      <c r="C40" s="7" t="s">
        <v>161</v>
      </c>
      <c r="D40" s="7" t="s">
        <v>162</v>
      </c>
      <c r="E40" s="7" t="s">
        <v>47</v>
      </c>
      <c r="F40" s="7" t="s">
        <v>161</v>
      </c>
      <c r="G40" s="7" t="s">
        <v>163</v>
      </c>
      <c r="H40" s="7" t="s">
        <v>164</v>
      </c>
      <c r="I40" s="7" t="s">
        <v>165</v>
      </c>
      <c r="J40" s="7" t="s">
        <v>25</v>
      </c>
      <c r="K40" s="7"/>
      <c r="L40" s="8">
        <f t="shared" si="1"/>
        <v>0</v>
      </c>
    </row>
    <row r="41" spans="1:12" ht="14.4" x14ac:dyDescent="0.3">
      <c r="A41" s="6">
        <f t="shared" si="2"/>
        <v>35</v>
      </c>
      <c r="B41" s="7">
        <v>2</v>
      </c>
      <c r="C41" s="7" t="s">
        <v>166</v>
      </c>
      <c r="D41" s="7" t="s">
        <v>167</v>
      </c>
      <c r="E41" s="7" t="s">
        <v>168</v>
      </c>
      <c r="F41" s="7" t="s">
        <v>166</v>
      </c>
      <c r="G41" s="7" t="s">
        <v>169</v>
      </c>
      <c r="H41" s="7" t="s">
        <v>152</v>
      </c>
      <c r="I41" s="7" t="s">
        <v>170</v>
      </c>
      <c r="J41" s="7" t="s">
        <v>25</v>
      </c>
      <c r="K41" s="7"/>
      <c r="L41" s="8">
        <f t="shared" si="1"/>
        <v>0</v>
      </c>
    </row>
    <row r="42" spans="1:12" ht="14.4" x14ac:dyDescent="0.3">
      <c r="A42" s="6">
        <f t="shared" si="2"/>
        <v>36</v>
      </c>
      <c r="B42" s="7">
        <v>2</v>
      </c>
      <c r="C42" s="7" t="s">
        <v>161</v>
      </c>
      <c r="D42" s="7" t="s">
        <v>171</v>
      </c>
      <c r="E42" s="7" t="s">
        <v>168</v>
      </c>
      <c r="F42" s="7" t="s">
        <v>161</v>
      </c>
      <c r="G42" s="7" t="s">
        <v>172</v>
      </c>
      <c r="H42" s="7" t="s">
        <v>152</v>
      </c>
      <c r="I42" s="7" t="s">
        <v>173</v>
      </c>
      <c r="J42" s="7" t="s">
        <v>25</v>
      </c>
      <c r="K42" s="7"/>
      <c r="L42" s="8">
        <f t="shared" si="1"/>
        <v>0</v>
      </c>
    </row>
    <row r="43" spans="1:12" ht="14.4" x14ac:dyDescent="0.3">
      <c r="A43" s="6">
        <f t="shared" si="2"/>
        <v>37</v>
      </c>
      <c r="B43" s="7">
        <v>2</v>
      </c>
      <c r="C43" s="7" t="s">
        <v>174</v>
      </c>
      <c r="D43" s="7" t="s">
        <v>175</v>
      </c>
      <c r="E43" s="7" t="s">
        <v>150</v>
      </c>
      <c r="F43" s="7" t="s">
        <v>174</v>
      </c>
      <c r="G43" s="7" t="s">
        <v>176</v>
      </c>
      <c r="H43" s="7" t="s">
        <v>152</v>
      </c>
      <c r="I43" s="7" t="s">
        <v>177</v>
      </c>
      <c r="J43" s="7" t="s">
        <v>25</v>
      </c>
      <c r="K43" s="7"/>
      <c r="L43" s="8">
        <f t="shared" si="1"/>
        <v>0</v>
      </c>
    </row>
    <row r="44" spans="1:12" ht="14.4" x14ac:dyDescent="0.3">
      <c r="A44" s="6">
        <f t="shared" si="2"/>
        <v>38</v>
      </c>
      <c r="B44" s="7">
        <v>4</v>
      </c>
      <c r="C44" s="7" t="s">
        <v>178</v>
      </c>
      <c r="D44" s="7" t="s">
        <v>179</v>
      </c>
      <c r="E44" s="7" t="s">
        <v>178</v>
      </c>
      <c r="F44" s="7" t="s">
        <v>0</v>
      </c>
      <c r="G44" s="7" t="s">
        <v>0</v>
      </c>
      <c r="H44" s="7" t="s">
        <v>0</v>
      </c>
      <c r="I44" s="7" t="s">
        <v>0</v>
      </c>
      <c r="J44" s="7" t="s">
        <v>0</v>
      </c>
      <c r="K44" s="7" t="s">
        <v>180</v>
      </c>
      <c r="L44" s="8">
        <f t="shared" si="1"/>
        <v>2.2839999999999998</v>
      </c>
    </row>
    <row r="45" spans="1:12" ht="14.4" x14ac:dyDescent="0.3">
      <c r="A45" s="6">
        <f t="shared" si="2"/>
        <v>39</v>
      </c>
      <c r="B45" s="7">
        <v>1</v>
      </c>
      <c r="C45" s="7" t="s">
        <v>181</v>
      </c>
      <c r="D45" s="7" t="s">
        <v>182</v>
      </c>
      <c r="E45" s="7" t="s">
        <v>183</v>
      </c>
      <c r="F45" s="7" t="s">
        <v>0</v>
      </c>
      <c r="G45" s="7" t="s">
        <v>181</v>
      </c>
      <c r="H45" s="7" t="s">
        <v>184</v>
      </c>
      <c r="I45" s="7" t="s">
        <v>185</v>
      </c>
      <c r="J45" s="7" t="s">
        <v>25</v>
      </c>
      <c r="K45" s="7"/>
      <c r="L45" s="8">
        <f t="shared" si="1"/>
        <v>0</v>
      </c>
    </row>
    <row r="46" spans="1:12" ht="14.4" x14ac:dyDescent="0.3">
      <c r="A46" s="6">
        <f t="shared" si="2"/>
        <v>40</v>
      </c>
      <c r="B46" s="7">
        <v>1</v>
      </c>
      <c r="C46" s="7" t="s">
        <v>186</v>
      </c>
      <c r="D46" s="7" t="s">
        <v>187</v>
      </c>
      <c r="E46" s="7" t="s">
        <v>188</v>
      </c>
      <c r="F46" s="7" t="s">
        <v>0</v>
      </c>
      <c r="G46" s="7" t="s">
        <v>186</v>
      </c>
      <c r="H46" s="7" t="s">
        <v>189</v>
      </c>
      <c r="I46" s="7" t="s">
        <v>190</v>
      </c>
      <c r="J46" s="7" t="s">
        <v>25</v>
      </c>
      <c r="K46" s="7"/>
      <c r="L46" s="8">
        <f t="shared" si="1"/>
        <v>0</v>
      </c>
    </row>
    <row r="47" spans="1:12" ht="14.4" x14ac:dyDescent="0.3">
      <c r="A47" s="6">
        <f t="shared" si="2"/>
        <v>41</v>
      </c>
      <c r="B47" s="7">
        <v>2</v>
      </c>
      <c r="C47" s="7" t="s">
        <v>191</v>
      </c>
      <c r="D47" s="7" t="s">
        <v>192</v>
      </c>
      <c r="E47" s="7" t="s">
        <v>193</v>
      </c>
      <c r="F47" s="7" t="s">
        <v>0</v>
      </c>
      <c r="G47" s="7" t="s">
        <v>191</v>
      </c>
      <c r="H47" s="7" t="s">
        <v>194</v>
      </c>
      <c r="I47" s="7" t="s">
        <v>195</v>
      </c>
      <c r="J47" s="7" t="s">
        <v>25</v>
      </c>
      <c r="K47" s="7"/>
      <c r="L47" s="8">
        <f t="shared" si="1"/>
        <v>0</v>
      </c>
    </row>
    <row r="48" spans="1:12" ht="14.4" x14ac:dyDescent="0.3">
      <c r="A48" s="6">
        <f t="shared" si="2"/>
        <v>42</v>
      </c>
      <c r="B48" s="7">
        <v>1</v>
      </c>
      <c r="C48" s="7" t="s">
        <v>196</v>
      </c>
      <c r="D48" s="7" t="s">
        <v>197</v>
      </c>
      <c r="E48" s="7" t="s">
        <v>198</v>
      </c>
      <c r="F48" s="7" t="s">
        <v>0</v>
      </c>
      <c r="G48" s="7" t="s">
        <v>196</v>
      </c>
      <c r="H48" s="7" t="s">
        <v>199</v>
      </c>
      <c r="I48" s="7" t="s">
        <v>200</v>
      </c>
      <c r="J48" s="7" t="s">
        <v>25</v>
      </c>
      <c r="K48" s="7"/>
      <c r="L48" s="8">
        <f t="shared" si="1"/>
        <v>0</v>
      </c>
    </row>
    <row r="49" spans="1:12" ht="14.4" x14ac:dyDescent="0.3">
      <c r="A49" s="6">
        <f t="shared" si="2"/>
        <v>43</v>
      </c>
      <c r="B49" s="7">
        <v>1</v>
      </c>
      <c r="C49" s="7" t="s">
        <v>201</v>
      </c>
      <c r="D49" s="7" t="s">
        <v>202</v>
      </c>
      <c r="E49" s="7" t="s">
        <v>203</v>
      </c>
      <c r="F49" s="7" t="s">
        <v>0</v>
      </c>
      <c r="G49" s="7" t="s">
        <v>201</v>
      </c>
      <c r="H49" s="7" t="s">
        <v>204</v>
      </c>
      <c r="I49" s="7" t="s">
        <v>205</v>
      </c>
      <c r="J49" s="7" t="s">
        <v>25</v>
      </c>
      <c r="K49" s="7"/>
      <c r="L49" s="8">
        <f t="shared" si="1"/>
        <v>0</v>
      </c>
    </row>
    <row r="50" spans="1:12" ht="14.4" x14ac:dyDescent="0.3">
      <c r="A50" s="6">
        <f t="shared" si="2"/>
        <v>44</v>
      </c>
      <c r="B50" s="7">
        <v>1</v>
      </c>
      <c r="C50" s="7" t="s">
        <v>206</v>
      </c>
      <c r="D50" s="7" t="s">
        <v>207</v>
      </c>
      <c r="E50" s="7" t="s">
        <v>208</v>
      </c>
      <c r="F50" s="7" t="s">
        <v>0</v>
      </c>
      <c r="G50" s="7" t="s">
        <v>206</v>
      </c>
      <c r="H50" s="7" t="s">
        <v>209</v>
      </c>
      <c r="I50" s="7" t="s">
        <v>210</v>
      </c>
      <c r="J50" s="7" t="s">
        <v>25</v>
      </c>
      <c r="K50" s="7"/>
      <c r="L50" s="8">
        <f t="shared" si="1"/>
        <v>0</v>
      </c>
    </row>
    <row r="51" spans="1:12" ht="14.4" x14ac:dyDescent="0.3">
      <c r="A51" s="6">
        <f t="shared" si="2"/>
        <v>45</v>
      </c>
      <c r="B51" s="7">
        <v>1</v>
      </c>
      <c r="C51" s="7" t="s">
        <v>211</v>
      </c>
      <c r="D51" s="7" t="s">
        <v>212</v>
      </c>
      <c r="E51" s="7" t="s">
        <v>213</v>
      </c>
      <c r="F51" s="7" t="s">
        <v>0</v>
      </c>
      <c r="G51" s="7" t="s">
        <v>214</v>
      </c>
      <c r="H51" s="7" t="s">
        <v>215</v>
      </c>
      <c r="I51" s="7" t="s">
        <v>216</v>
      </c>
      <c r="J51" s="7" t="s">
        <v>25</v>
      </c>
      <c r="K51" s="7"/>
      <c r="L51" s="8">
        <f t="shared" si="1"/>
        <v>0</v>
      </c>
    </row>
    <row r="52" spans="1:12" ht="14.4" x14ac:dyDescent="0.3">
      <c r="A52" s="6">
        <f t="shared" si="2"/>
        <v>46</v>
      </c>
      <c r="B52" s="7">
        <v>1</v>
      </c>
      <c r="C52" s="7" t="s">
        <v>217</v>
      </c>
      <c r="D52" s="7" t="s">
        <v>218</v>
      </c>
      <c r="E52" s="7" t="s">
        <v>219</v>
      </c>
      <c r="F52" s="7" t="s">
        <v>0</v>
      </c>
      <c r="G52" s="7" t="s">
        <v>217</v>
      </c>
      <c r="H52" s="7" t="s">
        <v>220</v>
      </c>
      <c r="I52" s="7" t="s">
        <v>221</v>
      </c>
      <c r="J52" s="7" t="s">
        <v>25</v>
      </c>
      <c r="K52" s="7"/>
      <c r="L52" s="8">
        <f t="shared" si="1"/>
        <v>0</v>
      </c>
    </row>
    <row r="53" spans="1:12" ht="14.4" x14ac:dyDescent="0.3">
      <c r="A53" s="6">
        <f t="shared" si="2"/>
        <v>47</v>
      </c>
      <c r="B53" s="7">
        <v>1</v>
      </c>
      <c r="C53" s="7" t="s">
        <v>222</v>
      </c>
      <c r="D53" s="7" t="s">
        <v>223</v>
      </c>
      <c r="E53" s="7" t="s">
        <v>224</v>
      </c>
      <c r="F53" s="7" t="s">
        <v>0</v>
      </c>
      <c r="G53" s="7" t="s">
        <v>222</v>
      </c>
      <c r="H53" s="7" t="s">
        <v>225</v>
      </c>
      <c r="I53" s="7" t="s">
        <v>226</v>
      </c>
      <c r="J53" s="7" t="s">
        <v>25</v>
      </c>
      <c r="K53" s="7"/>
      <c r="L53" s="8">
        <f t="shared" si="1"/>
        <v>0</v>
      </c>
    </row>
    <row r="54" spans="1:12" ht="14.4" x14ac:dyDescent="0.3">
      <c r="A54" s="6">
        <f t="shared" si="2"/>
        <v>48</v>
      </c>
      <c r="B54" s="7">
        <v>1</v>
      </c>
      <c r="C54" s="7" t="s">
        <v>227</v>
      </c>
      <c r="D54" s="7" t="s">
        <v>228</v>
      </c>
      <c r="E54" s="7" t="s">
        <v>229</v>
      </c>
      <c r="F54" s="7" t="s">
        <v>227</v>
      </c>
      <c r="G54" s="7" t="s">
        <v>230</v>
      </c>
      <c r="H54" s="7" t="s">
        <v>231</v>
      </c>
      <c r="I54" s="7" t="s">
        <v>232</v>
      </c>
      <c r="J54" s="7" t="s">
        <v>25</v>
      </c>
      <c r="K54" s="7"/>
      <c r="L54" s="8">
        <f t="shared" si="1"/>
        <v>0</v>
      </c>
    </row>
    <row r="55" spans="1:12" ht="14.4" x14ac:dyDescent="0.3">
      <c r="A55" s="6">
        <f t="shared" si="2"/>
        <v>49</v>
      </c>
      <c r="B55" s="11">
        <f>SUM(L7:L54)</f>
        <v>2.2839999999999998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</row>
  </sheetData>
  <mergeCells count="4">
    <mergeCell ref="A1:D5"/>
    <mergeCell ref="E1:E2"/>
    <mergeCell ref="F1:F2"/>
    <mergeCell ref="B55:L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131" workbookViewId="0">
      <selection activeCell="B13" sqref="B13"/>
    </sheetView>
  </sheetViews>
  <sheetFormatPr defaultColWidth="9" defaultRowHeight="14.25" customHeight="1" x14ac:dyDescent="0.3"/>
  <cols>
    <col min="1" max="1" width="23.6640625" customWidth="1"/>
    <col min="2" max="2" width="57.44140625" customWidth="1"/>
  </cols>
  <sheetData>
    <row r="1" spans="1:2" ht="14.25" customHeight="1" x14ac:dyDescent="0.3">
      <c r="A1" s="4" t="s">
        <v>233</v>
      </c>
      <c r="B1" s="4" t="s">
        <v>246</v>
      </c>
    </row>
    <row r="2" spans="1:2" ht="14.25" customHeight="1" x14ac:dyDescent="0.3">
      <c r="A2" s="4" t="s">
        <v>234</v>
      </c>
      <c r="B2" s="4" t="s">
        <v>235</v>
      </c>
    </row>
    <row r="3" spans="1:2" ht="14.25" customHeight="1" x14ac:dyDescent="0.3">
      <c r="A3" s="4" t="s">
        <v>236</v>
      </c>
      <c r="B3" s="4" t="s">
        <v>248</v>
      </c>
    </row>
    <row r="4" spans="1:2" ht="14.25" customHeight="1" x14ac:dyDescent="0.3">
      <c r="A4" s="4" t="s">
        <v>237</v>
      </c>
      <c r="B4" s="4" t="s">
        <v>5</v>
      </c>
    </row>
    <row r="5" spans="1:2" ht="14.25" customHeight="1" x14ac:dyDescent="0.3">
      <c r="A5" s="4" t="s">
        <v>238</v>
      </c>
      <c r="B5" s="4" t="s">
        <v>5</v>
      </c>
    </row>
    <row r="6" spans="1:2" ht="14.25" customHeight="1" x14ac:dyDescent="0.3">
      <c r="A6" s="4" t="s">
        <v>239</v>
      </c>
      <c r="B6" s="13">
        <v>82</v>
      </c>
    </row>
    <row r="7" spans="1:2" ht="14.25" customHeight="1" x14ac:dyDescent="0.3">
      <c r="A7" s="4" t="s">
        <v>240</v>
      </c>
      <c r="B7" s="12">
        <v>0.81443287037037038</v>
      </c>
    </row>
    <row r="8" spans="1:2" ht="14.25" customHeight="1" x14ac:dyDescent="0.3">
      <c r="A8" s="4" t="s">
        <v>241</v>
      </c>
      <c r="B8" s="4" t="s">
        <v>249</v>
      </c>
    </row>
    <row r="9" spans="1:2" ht="14.25" customHeight="1" x14ac:dyDescent="0.3">
      <c r="A9" s="4" t="s">
        <v>242</v>
      </c>
      <c r="B9" s="4" t="s">
        <v>247</v>
      </c>
    </row>
    <row r="10" spans="1:2" ht="14.25" customHeight="1" x14ac:dyDescent="0.3">
      <c r="A10" s="4" t="s">
        <v>243</v>
      </c>
      <c r="B10" s="4" t="s">
        <v>250</v>
      </c>
    </row>
    <row r="11" spans="1:2" ht="14.25" customHeight="1" x14ac:dyDescent="0.3">
      <c r="A11" s="4" t="s">
        <v>244</v>
      </c>
      <c r="B11" s="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2024-08-02T02:42:32Z</dcterms:created>
  <dcterms:modified xsi:type="dcterms:W3CDTF">2025-12-27T11:58:47Z</dcterms:modified>
  <cp:category/>
</cp:coreProperties>
</file>